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elx\OneDrive\Escritorio\"/>
    </mc:Choice>
  </mc:AlternateContent>
  <xr:revisionPtr revIDLastSave="0" documentId="13_ncr:1_{A763A4CB-04AF-4364-8513-D6597F29C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j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JD+mE/WvrIH8rO/L32sUGCAe5etY8O5dMxkz7b+pHg="/>
    </ext>
  </extLst>
</workbook>
</file>

<file path=xl/calcChain.xml><?xml version="1.0" encoding="utf-8"?>
<calcChain xmlns="http://schemas.openxmlformats.org/spreadsheetml/2006/main">
  <c r="E43" i="1" l="1"/>
  <c r="C47" i="1"/>
  <c r="C46" i="1"/>
  <c r="C45" i="1"/>
  <c r="J40" i="1"/>
  <c r="I40" i="1"/>
  <c r="J39" i="1"/>
  <c r="J38" i="1"/>
  <c r="J37" i="1"/>
  <c r="F38" i="1"/>
  <c r="C44" i="1" s="1"/>
  <c r="F32" i="1"/>
  <c r="C43" i="1" s="1"/>
  <c r="F26" i="1"/>
  <c r="C42" i="1" s="1"/>
  <c r="W9" i="2"/>
  <c r="J6" i="2"/>
  <c r="V5" i="2"/>
  <c r="U5" i="2"/>
  <c r="T5" i="2"/>
  <c r="S5" i="2"/>
  <c r="R5" i="2"/>
  <c r="Q5" i="2"/>
  <c r="P5" i="2"/>
  <c r="O5" i="2"/>
  <c r="N5" i="2"/>
  <c r="M5" i="2"/>
  <c r="L5" i="2"/>
  <c r="K5" i="2"/>
  <c r="G18" i="1"/>
  <c r="G20" i="1" s="1"/>
  <c r="M9" i="1" s="1"/>
  <c r="F18" i="1"/>
  <c r="J13" i="1"/>
  <c r="J14" i="1" s="1"/>
  <c r="N11" i="1"/>
  <c r="H10" i="1"/>
  <c r="G9" i="1"/>
  <c r="C9" i="1"/>
  <c r="C10" i="1" s="1"/>
  <c r="M4" i="1"/>
  <c r="W5" i="2" l="1"/>
  <c r="E16" i="1"/>
  <c r="E18" i="1" s="1"/>
  <c r="D16" i="1"/>
  <c r="D18" i="1" s="1"/>
  <c r="C16" i="1"/>
  <c r="C18" i="1" s="1"/>
  <c r="H18" i="1" l="1"/>
  <c r="H20" i="1" s="1"/>
  <c r="J4" i="1"/>
  <c r="J6" i="1" s="1"/>
  <c r="J7" i="1" s="1"/>
  <c r="C20" i="1"/>
  <c r="D6" i="1" l="1"/>
  <c r="D9" i="1" s="1"/>
  <c r="D10" i="1" s="1"/>
  <c r="D20" i="1" s="1"/>
  <c r="M5" i="1"/>
  <c r="E6" i="1" l="1"/>
  <c r="E9" i="1" s="1"/>
  <c r="E10" i="1" s="1"/>
  <c r="E20" i="1" s="1"/>
  <c r="M6" i="1"/>
  <c r="F6" i="1" l="1"/>
  <c r="F9" i="1" s="1"/>
  <c r="F10" i="1" s="1"/>
  <c r="F20" i="1" s="1"/>
  <c r="M8" i="1" s="1"/>
  <c r="M7" i="1"/>
  <c r="M12" i="1" a="1"/>
  <c r="M13" i="1" l="1"/>
  <c r="M12" i="1"/>
</calcChain>
</file>

<file path=xl/sharedStrings.xml><?xml version="1.0" encoding="utf-8"?>
<sst xmlns="http://schemas.openxmlformats.org/spreadsheetml/2006/main" count="111" uniqueCount="102">
  <si>
    <t>FLUJOS DE CAJA</t>
  </si>
  <si>
    <t>FICHA PROYECTO</t>
  </si>
  <si>
    <t>DASHBOARD ECONOMICO</t>
  </si>
  <si>
    <t>Periodo 0</t>
  </si>
  <si>
    <t>Periodo 1</t>
  </si>
  <si>
    <t>Periodo 2</t>
  </si>
  <si>
    <t>Periodo 3</t>
  </si>
  <si>
    <t>Periodo 4</t>
  </si>
  <si>
    <t>Costo Proyecto</t>
  </si>
  <si>
    <t>Inversión</t>
  </si>
  <si>
    <t>Cuota Cliente</t>
  </si>
  <si>
    <t>Rentabilidad</t>
  </si>
  <si>
    <t>Flujo Periodo 0</t>
  </si>
  <si>
    <t>Saldo Periodo Anterior</t>
  </si>
  <si>
    <t>Precio Venta</t>
  </si>
  <si>
    <t>Flujo Periodo 1</t>
  </si>
  <si>
    <t>Fondo del inversionista</t>
  </si>
  <si>
    <t>Flujo Periodo 2</t>
  </si>
  <si>
    <t>Flujo Periodo 3</t>
  </si>
  <si>
    <t>Ingresos Mensuales</t>
  </si>
  <si>
    <t>INGRESOS</t>
  </si>
  <si>
    <t>Flujo Periodo 4</t>
  </si>
  <si>
    <t>Saldos Mensuales</t>
  </si>
  <si>
    <t>Prestamo</t>
  </si>
  <si>
    <t>Cuotas</t>
  </si>
  <si>
    <t>Tasa</t>
  </si>
  <si>
    <t>Egresos</t>
  </si>
  <si>
    <t>Interes</t>
  </si>
  <si>
    <t>VAN</t>
  </si>
  <si>
    <t>Arriendos</t>
  </si>
  <si>
    <t>Valor Cuota</t>
  </si>
  <si>
    <t>TIR</t>
  </si>
  <si>
    <t>Sueldos</t>
  </si>
  <si>
    <t>Costo Crédito</t>
  </si>
  <si>
    <t>Servicios</t>
  </si>
  <si>
    <t>Cuota prestamo</t>
  </si>
  <si>
    <t>INVERSION</t>
  </si>
  <si>
    <t>Otros</t>
  </si>
  <si>
    <t>EGRESOS</t>
  </si>
  <si>
    <t>Nombre</t>
  </si>
  <si>
    <t>Costo</t>
  </si>
  <si>
    <t>Total Egresos</t>
  </si>
  <si>
    <t>SALDO</t>
  </si>
  <si>
    <t>Flujo</t>
  </si>
  <si>
    <t>Cantidad</t>
  </si>
  <si>
    <t>Total</t>
  </si>
  <si>
    <t>Rol</t>
  </si>
  <si>
    <t>Desarrollador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</si>
  <si>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</si>
  <si>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</si>
  <si>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</si>
  <si>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</si>
  <si>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</si>
  <si>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</si>
  <si>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</si>
  <si>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</si>
  <si>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</si>
  <si>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</si>
  <si>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</si>
  <si>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</si>
  <si>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SaaS</t>
  </si>
  <si>
    <t>Pago por uso</t>
  </si>
  <si>
    <t>Mensual</t>
  </si>
  <si>
    <t>Proyecto</t>
  </si>
  <si>
    <t>Cliente</t>
  </si>
  <si>
    <t>Licencia</t>
  </si>
  <si>
    <t>Por Proyecto</t>
  </si>
  <si>
    <t>Mineduc</t>
  </si>
  <si>
    <t>$/Hora</t>
  </si>
  <si>
    <t>Horas totales</t>
  </si>
  <si>
    <t>Costo total</t>
  </si>
  <si>
    <t>Product Owner</t>
  </si>
  <si>
    <t>Scrum Master</t>
  </si>
  <si>
    <t>Nombre de costo</t>
  </si>
  <si>
    <t>Costo unitario</t>
  </si>
  <si>
    <t>Computadora</t>
  </si>
  <si>
    <t>Hosting</t>
  </si>
  <si>
    <t>12 (meses)</t>
  </si>
  <si>
    <t xml:space="preserve">Costo unitario </t>
  </si>
  <si>
    <t>Zoom Pro</t>
  </si>
  <si>
    <t>6 meses</t>
  </si>
  <si>
    <t>Incentivo de participación (giftcards)</t>
  </si>
  <si>
    <t>Difusión</t>
  </si>
  <si>
    <t>1 campaña</t>
  </si>
  <si>
    <t>Categoría de costo</t>
  </si>
  <si>
    <t>Recursos humanos</t>
  </si>
  <si>
    <t>Recursos tecnológicos</t>
  </si>
  <si>
    <t>Recursos operativos</t>
  </si>
  <si>
    <t>Fondo de emergencia (10%)</t>
  </si>
  <si>
    <t xml:space="preserve"> </t>
  </si>
  <si>
    <t>Totales:</t>
  </si>
  <si>
    <t>Proyeccion de 3 años</t>
  </si>
  <si>
    <t>Mantenimiento</t>
  </si>
  <si>
    <t>Desarrollo</t>
  </si>
  <si>
    <t>Tecnologia</t>
  </si>
  <si>
    <t>Operativo</t>
  </si>
  <si>
    <t>* 3 años</t>
  </si>
  <si>
    <t>Feriados dia habil</t>
  </si>
  <si>
    <t>Menos fin de semana</t>
  </si>
  <si>
    <t>752 dias habiles</t>
  </si>
  <si>
    <t>Año</t>
  </si>
  <si>
    <t>Mantención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</si>
</sst>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1" formatCode="_ * #,##0_ ;_ * \-#,##0_ ;_ * &quot;-&quot;_ ;_ @_ "/>
    <numFmt numFmtId="164" formatCode="_ * #,##0.00_ ;_ * \-#,##0.00_ ;_ * &quot;-&quot;_ ;_ @_ 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DAE9F7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4" xfId="0" applyFont="1" applyBorder="1"/>
    <xf numFmtId="0" fontId="4" fillId="0" borderId="5" xfId="0" applyFont="1" applyBorder="1"/>
    <xf numFmtId="41" fontId="4" fillId="0" borderId="6" xfId="0" applyNumberFormat="1" applyFont="1" applyBorder="1"/>
    <xf numFmtId="41" fontId="4" fillId="0" borderId="0" xfId="0" applyNumberFormat="1" applyFont="1"/>
    <xf numFmtId="0" fontId="4" fillId="0" borderId="7" xfId="0" applyFont="1" applyBorder="1"/>
    <xf numFmtId="41" fontId="4" fillId="0" borderId="7" xfId="0" applyNumberFormat="1" applyFont="1" applyBorder="1"/>
    <xf numFmtId="0" fontId="4" fillId="0" borderId="8" xfId="0" applyFont="1" applyBorder="1"/>
    <xf numFmtId="164" fontId="4" fillId="0" borderId="9" xfId="0" applyNumberFormat="1" applyFont="1" applyBorder="1"/>
    <xf numFmtId="41" fontId="4" fillId="0" borderId="9" xfId="0" applyNumberFormat="1" applyFont="1" applyBorder="1"/>
    <xf numFmtId="0" fontId="4" fillId="0" borderId="10" xfId="0" applyFont="1" applyBorder="1"/>
    <xf numFmtId="41" fontId="4" fillId="0" borderId="10" xfId="0" applyNumberFormat="1" applyFont="1" applyBorder="1"/>
    <xf numFmtId="0" fontId="5" fillId="0" borderId="0" xfId="0" applyFont="1" applyAlignment="1">
      <alignment horizontal="center"/>
    </xf>
    <xf numFmtId="0" fontId="4" fillId="2" borderId="11" xfId="0" applyFont="1" applyFill="1" applyBorder="1"/>
    <xf numFmtId="41" fontId="4" fillId="2" borderId="12" xfId="0" applyNumberFormat="1" applyFont="1" applyFill="1" applyBorder="1"/>
    <xf numFmtId="9" fontId="4" fillId="0" borderId="0" xfId="0" applyNumberFormat="1" applyFont="1"/>
    <xf numFmtId="164" fontId="4" fillId="0" borderId="0" xfId="0" applyNumberFormat="1" applyFont="1"/>
    <xf numFmtId="9" fontId="4" fillId="0" borderId="7" xfId="0" applyNumberFormat="1" applyFont="1" applyBorder="1"/>
    <xf numFmtId="0" fontId="4" fillId="0" borderId="16" xfId="0" applyFont="1" applyBorder="1"/>
    <xf numFmtId="41" fontId="4" fillId="0" borderId="17" xfId="0" applyNumberFormat="1" applyFont="1" applyBorder="1"/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4" borderId="11" xfId="0" applyFont="1" applyFill="1" applyBorder="1"/>
    <xf numFmtId="41" fontId="4" fillId="4" borderId="12" xfId="0" applyNumberFormat="1" applyFont="1" applyFill="1" applyBorder="1"/>
    <xf numFmtId="41" fontId="4" fillId="4" borderId="20" xfId="0" applyNumberFormat="1" applyFont="1" applyFill="1" applyBorder="1"/>
    <xf numFmtId="0" fontId="4" fillId="0" borderId="21" xfId="0" applyFont="1" applyBorder="1" applyAlignment="1">
      <alignment wrapText="1"/>
    </xf>
    <xf numFmtId="3" fontId="4" fillId="0" borderId="22" xfId="0" applyNumberFormat="1" applyFont="1" applyBorder="1" applyAlignment="1">
      <alignment horizontal="right" wrapText="1"/>
    </xf>
    <xf numFmtId="0" fontId="2" fillId="5" borderId="11" xfId="0" applyFont="1" applyFill="1" applyBorder="1"/>
    <xf numFmtId="41" fontId="2" fillId="5" borderId="12" xfId="0" applyNumberFormat="1" applyFont="1" applyFill="1" applyBorder="1"/>
    <xf numFmtId="41" fontId="2" fillId="5" borderId="20" xfId="0" applyNumberFormat="1" applyFont="1" applyFill="1" applyBorder="1"/>
    <xf numFmtId="0" fontId="6" fillId="0" borderId="0" xfId="0" applyFont="1"/>
    <xf numFmtId="0" fontId="4" fillId="3" borderId="21" xfId="0" applyFont="1" applyFill="1" applyBorder="1" applyAlignment="1">
      <alignment wrapText="1"/>
    </xf>
    <xf numFmtId="3" fontId="4" fillId="3" borderId="22" xfId="0" applyNumberFormat="1" applyFont="1" applyFill="1" applyBorder="1" applyAlignment="1">
      <alignment horizontal="right" wrapText="1"/>
    </xf>
    <xf numFmtId="0" fontId="7" fillId="2" borderId="23" xfId="0" applyFont="1" applyFill="1" applyBorder="1"/>
    <xf numFmtId="0" fontId="4" fillId="0" borderId="0" xfId="0" applyFont="1"/>
    <xf numFmtId="0" fontId="9" fillId="6" borderId="24" xfId="0" applyFont="1" applyFill="1" applyBorder="1" applyAlignment="1">
      <alignment horizontal="justify" vertical="center" wrapText="1"/>
    </xf>
    <xf numFmtId="0" fontId="9" fillId="6" borderId="25" xfId="0" applyFont="1" applyFill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6" fontId="0" fillId="0" borderId="0" xfId="0" applyNumberFormat="1"/>
    <xf numFmtId="6" fontId="8" fillId="0" borderId="27" xfId="0" applyNumberFormat="1" applyFont="1" applyBorder="1" applyAlignment="1">
      <alignment horizontal="justify" vertical="center" wrapText="1"/>
    </xf>
    <xf numFmtId="0" fontId="8" fillId="0" borderId="27" xfId="0" applyFont="1" applyBorder="1" applyAlignment="1">
      <alignment horizontal="justify" vertical="center" wrapText="1"/>
    </xf>
    <xf numFmtId="6" fontId="8" fillId="0" borderId="29" xfId="0" applyNumberFormat="1" applyFont="1" applyBorder="1" applyAlignment="1">
      <alignment horizontal="justify" vertical="center" wrapText="1"/>
    </xf>
    <xf numFmtId="0" fontId="1" fillId="0" borderId="0" xfId="0" applyFont="1"/>
    <xf numFmtId="0" fontId="8" fillId="0" borderId="30" xfId="0" applyFont="1" applyBorder="1" applyAlignment="1">
      <alignment horizontal="justify" vertical="center" wrapText="1"/>
    </xf>
    <xf numFmtId="0" fontId="8" fillId="0" borderId="29" xfId="0" applyFont="1" applyBorder="1" applyAlignment="1">
      <alignment horizontal="justify" vertical="center" wrapText="1"/>
    </xf>
    <xf numFmtId="0" fontId="8" fillId="0" borderId="28" xfId="0" applyFont="1" applyBorder="1" applyAlignment="1">
      <alignment horizontal="justify" vertical="center" wrapText="1"/>
    </xf>
    <xf numFmtId="6" fontId="8" fillId="0" borderId="28" xfId="0" applyNumberFormat="1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9" fillId="6" borderId="26" xfId="0" applyFont="1" applyFill="1" applyBorder="1" applyAlignment="1">
      <alignment horizontal="justify" vertical="center" wrapText="1"/>
    </xf>
    <xf numFmtId="0" fontId="9" fillId="6" borderId="27" xfId="0" applyFont="1" applyFill="1" applyBorder="1" applyAlignment="1">
      <alignment horizontal="justify" vertical="center" wrapText="1"/>
    </xf>
    <xf numFmtId="6" fontId="8" fillId="0" borderId="23" xfId="0" applyNumberFormat="1" applyFont="1" applyBorder="1" applyAlignment="1">
      <alignment horizontal="justify" vertical="center" wrapText="1"/>
    </xf>
    <xf numFmtId="0" fontId="9" fillId="6" borderId="28" xfId="0" applyFont="1" applyFill="1" applyBorder="1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28" xfId="0" applyBorder="1" applyAlignment="1">
      <alignment horizontal="center" vertical="center" wrapText="1"/>
    </xf>
    <xf numFmtId="6" fontId="0" fillId="0" borderId="28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3" xfId="0" applyBorder="1"/>
    <xf numFmtId="6" fontId="0" fillId="0" borderId="34" xfId="0" applyNumberFormat="1" applyBorder="1"/>
    <xf numFmtId="6" fontId="8" fillId="0" borderId="28" xfId="0" applyNumberFormat="1" applyFont="1" applyBorder="1" applyAlignment="1">
      <alignment horizontal="left" vertical="center"/>
    </xf>
    <xf numFmtId="0" fontId="8" fillId="0" borderId="28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6" fillId="0" borderId="28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001"/>
  <sheetViews>
    <sheetView tabSelected="1" topLeftCell="A33" zoomScaleNormal="100" workbookViewId="0">
      <selection activeCell="C47" sqref="C47"/>
    </sheetView>
  </sheetViews>
  <sheetFormatPr baseColWidth="10" defaultColWidth="14.42578125" defaultRowHeight="15" customHeight="1" x14ac:dyDescent="0.25"/>
  <cols>
    <col min="1" max="1" width="10.7109375" customWidth="1"/>
    <col min="2" max="2" width="21.42578125" customWidth="1"/>
    <col min="3" max="3" width="19" customWidth="1"/>
    <col min="4" max="4" width="17.42578125" customWidth="1"/>
    <col min="5" max="5" width="19.140625" customWidth="1"/>
    <col min="6" max="6" width="20.28515625" customWidth="1"/>
    <col min="7" max="7" width="20" customWidth="1"/>
    <col min="9" max="9" width="18.140625" customWidth="1"/>
    <col min="10" max="10" width="18.42578125" customWidth="1"/>
    <col min="11" max="11" width="2.28515625" customWidth="1"/>
    <col min="12" max="12" width="14.28515625" customWidth="1"/>
    <col min="13" max="13" width="15.140625" customWidth="1"/>
    <col min="14" max="14" width="4.85546875" customWidth="1"/>
    <col min="15" max="26" width="10.7109375" customWidth="1"/>
  </cols>
  <sheetData>
    <row r="3" spans="2:14" x14ac:dyDescent="0.25">
      <c r="C3" s="60" t="s">
        <v>0</v>
      </c>
      <c r="D3" s="61"/>
      <c r="E3" s="61"/>
      <c r="F3" s="61"/>
      <c r="G3" s="62"/>
      <c r="I3" s="60" t="s">
        <v>1</v>
      </c>
      <c r="J3" s="62"/>
      <c r="L3" s="60" t="s">
        <v>2</v>
      </c>
      <c r="M3" s="61"/>
      <c r="N3" s="62"/>
    </row>
    <row r="4" spans="2:14" x14ac:dyDescent="0.25"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I4" s="2" t="s">
        <v>8</v>
      </c>
      <c r="J4" s="3">
        <f>SUM(C18:G18)</f>
        <v>39530000</v>
      </c>
      <c r="K4" s="4"/>
      <c r="L4" s="5" t="s">
        <v>9</v>
      </c>
      <c r="M4" s="6">
        <f>+J10*-1</f>
        <v>0</v>
      </c>
    </row>
    <row r="5" spans="2:14" x14ac:dyDescent="0.25">
      <c r="B5" s="5" t="s">
        <v>10</v>
      </c>
      <c r="C5" s="6">
        <v>32738200</v>
      </c>
      <c r="D5" s="6">
        <v>2761000</v>
      </c>
      <c r="E5" s="6">
        <v>2783000</v>
      </c>
      <c r="F5" s="6">
        <v>2780000</v>
      </c>
      <c r="G5" s="6"/>
      <c r="I5" s="7" t="s">
        <v>11</v>
      </c>
      <c r="J5" s="8">
        <v>0.5</v>
      </c>
      <c r="K5" s="4"/>
      <c r="L5" s="5" t="s">
        <v>12</v>
      </c>
      <c r="M5" s="6">
        <f>+C20</f>
        <v>3728200</v>
      </c>
    </row>
    <row r="6" spans="2:14" x14ac:dyDescent="0.25">
      <c r="B6" s="5" t="s">
        <v>13</v>
      </c>
      <c r="C6" s="6">
        <v>0</v>
      </c>
      <c r="D6" s="6">
        <f t="shared" ref="D6:E6" si="0">C20</f>
        <v>3728200</v>
      </c>
      <c r="E6" s="6">
        <f t="shared" si="0"/>
        <v>6724400</v>
      </c>
      <c r="F6" s="6">
        <f>E20</f>
        <v>12716800</v>
      </c>
      <c r="G6" s="6"/>
      <c r="I6" s="7" t="s">
        <v>14</v>
      </c>
      <c r="J6" s="9">
        <f>+J4*(1+J5)</f>
        <v>59295000</v>
      </c>
      <c r="K6" s="4"/>
      <c r="L6" s="5" t="s">
        <v>15</v>
      </c>
      <c r="M6" s="6">
        <f>+D20</f>
        <v>6724400</v>
      </c>
    </row>
    <row r="7" spans="2:14" x14ac:dyDescent="0.25">
      <c r="B7" s="5" t="s">
        <v>16</v>
      </c>
      <c r="C7" s="6"/>
      <c r="D7" s="6"/>
      <c r="E7" s="6"/>
      <c r="F7" s="6"/>
      <c r="G7" s="6"/>
      <c r="I7" s="7" t="s">
        <v>11</v>
      </c>
      <c r="J7" s="9">
        <f>+J6-J4</f>
        <v>19765000</v>
      </c>
      <c r="K7" s="4"/>
      <c r="L7" s="5" t="s">
        <v>17</v>
      </c>
      <c r="M7" s="6">
        <f>+E20</f>
        <v>12716800</v>
      </c>
    </row>
    <row r="8" spans="2:14" x14ac:dyDescent="0.25">
      <c r="B8" s="5"/>
      <c r="C8" s="6"/>
      <c r="D8" s="6"/>
      <c r="E8" s="6"/>
      <c r="F8" s="6"/>
      <c r="I8" s="7"/>
      <c r="J8" s="9"/>
      <c r="K8" s="4"/>
      <c r="L8" s="5" t="s">
        <v>18</v>
      </c>
      <c r="M8" s="6">
        <f>+F20</f>
        <v>24701600</v>
      </c>
    </row>
    <row r="9" spans="2:14" x14ac:dyDescent="0.25">
      <c r="B9" s="10" t="s">
        <v>19</v>
      </c>
      <c r="C9" s="11">
        <f t="shared" ref="C9:G9" si="1">SUM(C5:C8)</f>
        <v>32738200</v>
      </c>
      <c r="D9" s="11">
        <f t="shared" si="1"/>
        <v>6489200</v>
      </c>
      <c r="E9" s="11">
        <f t="shared" si="1"/>
        <v>9507400</v>
      </c>
      <c r="F9" s="11">
        <f t="shared" si="1"/>
        <v>15496800</v>
      </c>
      <c r="G9" s="11">
        <f t="shared" si="1"/>
        <v>0</v>
      </c>
      <c r="H9" s="12" t="s">
        <v>20</v>
      </c>
      <c r="I9" s="7"/>
      <c r="J9" s="9"/>
      <c r="K9" s="4"/>
      <c r="L9" s="5" t="s">
        <v>21</v>
      </c>
      <c r="M9" s="6">
        <f>+G20</f>
        <v>0</v>
      </c>
    </row>
    <row r="10" spans="2:14" x14ac:dyDescent="0.25">
      <c r="B10" s="13" t="s">
        <v>22</v>
      </c>
      <c r="C10" s="14">
        <f>+C9</f>
        <v>32738200</v>
      </c>
      <c r="D10" s="14">
        <f t="shared" ref="D10:E10" si="2">+C20+D9</f>
        <v>10217400</v>
      </c>
      <c r="E10" s="14">
        <f t="shared" si="2"/>
        <v>16231800</v>
      </c>
      <c r="F10" s="14">
        <f>+E20+F9</f>
        <v>28213600</v>
      </c>
      <c r="G10" s="14">
        <v>0</v>
      </c>
      <c r="H10" s="4">
        <f>+G5</f>
        <v>0</v>
      </c>
      <c r="I10" s="7" t="s">
        <v>23</v>
      </c>
      <c r="J10" s="9"/>
      <c r="K10" s="4"/>
      <c r="L10" s="5"/>
      <c r="M10" s="5"/>
    </row>
    <row r="11" spans="2:14" x14ac:dyDescent="0.25">
      <c r="C11" s="4"/>
      <c r="D11" s="4"/>
      <c r="E11" s="4"/>
      <c r="F11" s="4"/>
      <c r="G11" s="4"/>
      <c r="I11" s="7" t="s">
        <v>24</v>
      </c>
      <c r="J11" s="9">
        <v>3</v>
      </c>
      <c r="K11" s="4"/>
      <c r="L11" s="5" t="s">
        <v>25</v>
      </c>
      <c r="M11" s="5">
        <v>20</v>
      </c>
      <c r="N11" s="15">
        <f>+M11/100</f>
        <v>0.2</v>
      </c>
    </row>
    <row r="12" spans="2:14" x14ac:dyDescent="0.25">
      <c r="B12" s="63" t="s">
        <v>26</v>
      </c>
      <c r="C12" s="64"/>
      <c r="D12" s="64"/>
      <c r="E12" s="64"/>
      <c r="F12" s="64"/>
      <c r="G12" s="65"/>
      <c r="I12" s="7" t="s">
        <v>27</v>
      </c>
      <c r="J12" s="8">
        <v>1</v>
      </c>
      <c r="K12" s="16"/>
      <c r="L12" s="5" t="s">
        <v>28</v>
      </c>
      <c r="M12" s="6">
        <f t="array" ref="M12">NPV(N11,C20,D20,E20,F20,G20)-J10</f>
        <v>27048237.654320989</v>
      </c>
    </row>
    <row r="13" spans="2:14" x14ac:dyDescent="0.25">
      <c r="B13" s="5" t="s">
        <v>29</v>
      </c>
      <c r="C13" s="6"/>
      <c r="D13" s="6"/>
      <c r="E13" s="6"/>
      <c r="F13" s="6"/>
      <c r="G13" s="6"/>
      <c r="I13" s="7" t="s">
        <v>30</v>
      </c>
      <c r="J13" s="9">
        <f>(J10/J11)*J12</f>
        <v>0</v>
      </c>
      <c r="K13" s="4"/>
      <c r="L13" s="5" t="s">
        <v>31</v>
      </c>
      <c r="M13" s="17" t="e">
        <f>IRR(M4:M9)</f>
        <v>#NUM!</v>
      </c>
    </row>
    <row r="14" spans="2:14" x14ac:dyDescent="0.25">
      <c r="B14" s="5" t="s">
        <v>32</v>
      </c>
      <c r="C14" s="6">
        <v>26880000</v>
      </c>
      <c r="D14" s="6">
        <v>2761000</v>
      </c>
      <c r="E14" s="6">
        <v>2783000</v>
      </c>
      <c r="F14" s="6">
        <v>2780000</v>
      </c>
      <c r="G14" s="6"/>
      <c r="I14" s="18" t="s">
        <v>33</v>
      </c>
      <c r="J14" s="19">
        <f>+J13*J11</f>
        <v>0</v>
      </c>
      <c r="K14" s="4"/>
    </row>
    <row r="15" spans="2:14" x14ac:dyDescent="0.25">
      <c r="B15" s="5" t="s">
        <v>34</v>
      </c>
      <c r="C15" s="6">
        <v>810000</v>
      </c>
      <c r="D15" s="6">
        <v>732000</v>
      </c>
      <c r="E15" s="6">
        <v>732000</v>
      </c>
      <c r="F15" s="6">
        <v>732000</v>
      </c>
      <c r="G15" s="6"/>
    </row>
    <row r="16" spans="2:14" x14ac:dyDescent="0.25">
      <c r="B16" s="5" t="s">
        <v>35</v>
      </c>
      <c r="C16" s="6">
        <f t="shared" ref="C16:E16" si="3">+$J$13</f>
        <v>0</v>
      </c>
      <c r="D16" s="6">
        <f t="shared" si="3"/>
        <v>0</v>
      </c>
      <c r="E16" s="6">
        <f t="shared" si="3"/>
        <v>0</v>
      </c>
      <c r="F16" s="6"/>
      <c r="G16" s="6"/>
      <c r="L16" s="60" t="s">
        <v>36</v>
      </c>
      <c r="M16" s="62"/>
    </row>
    <row r="17" spans="2:13" x14ac:dyDescent="0.25">
      <c r="B17" s="10" t="s">
        <v>37</v>
      </c>
      <c r="C17" s="11">
        <v>1320000</v>
      </c>
      <c r="D17" s="11"/>
      <c r="E17" s="11"/>
      <c r="F17" s="11"/>
      <c r="G17" s="11"/>
      <c r="H17" s="12" t="s">
        <v>38</v>
      </c>
      <c r="K17" s="4"/>
      <c r="L17" s="20" t="s">
        <v>39</v>
      </c>
      <c r="M17" s="21" t="s">
        <v>40</v>
      </c>
    </row>
    <row r="18" spans="2:13" x14ac:dyDescent="0.25">
      <c r="B18" s="22" t="s">
        <v>41</v>
      </c>
      <c r="C18" s="23">
        <f t="shared" ref="C18:G18" si="4">SUM(C13:C17)</f>
        <v>29010000</v>
      </c>
      <c r="D18" s="23">
        <f t="shared" si="4"/>
        <v>3493000</v>
      </c>
      <c r="E18" s="23">
        <f t="shared" si="4"/>
        <v>3515000</v>
      </c>
      <c r="F18" s="23">
        <f t="shared" si="4"/>
        <v>3512000</v>
      </c>
      <c r="G18" s="24">
        <f t="shared" si="4"/>
        <v>0</v>
      </c>
      <c r="H18" s="4">
        <f>SUM(C18:G18)</f>
        <v>39530000</v>
      </c>
      <c r="K18" s="15"/>
      <c r="L18" s="25" t="s">
        <v>67</v>
      </c>
      <c r="M18" s="26">
        <v>41010200</v>
      </c>
    </row>
    <row r="19" spans="2:13" x14ac:dyDescent="0.25">
      <c r="C19" s="4"/>
      <c r="D19" s="4"/>
      <c r="E19" s="4"/>
      <c r="F19" s="4"/>
      <c r="G19" s="4"/>
      <c r="H19" s="12" t="s">
        <v>42</v>
      </c>
      <c r="L19" s="25"/>
      <c r="M19" s="26"/>
    </row>
    <row r="20" spans="2:13" x14ac:dyDescent="0.25">
      <c r="B20" s="27" t="s">
        <v>43</v>
      </c>
      <c r="C20" s="28">
        <f t="shared" ref="C20:H20" si="5">+C10-C18</f>
        <v>3728200</v>
      </c>
      <c r="D20" s="28">
        <f t="shared" si="5"/>
        <v>6724400</v>
      </c>
      <c r="E20" s="28">
        <f t="shared" si="5"/>
        <v>12716800</v>
      </c>
      <c r="F20" s="28">
        <f>+F10-F18</f>
        <v>24701600</v>
      </c>
      <c r="G20" s="29">
        <f t="shared" si="5"/>
        <v>0</v>
      </c>
      <c r="H20" s="4">
        <f t="shared" si="5"/>
        <v>-39530000</v>
      </c>
      <c r="L20" s="25"/>
      <c r="M20" s="26"/>
    </row>
    <row r="21" spans="2:13" ht="15.75" customHeight="1" thickBot="1" x14ac:dyDescent="0.3">
      <c r="L21" s="25"/>
      <c r="M21" s="26"/>
    </row>
    <row r="22" spans="2:13" ht="15.75" customHeight="1" thickBot="1" x14ac:dyDescent="0.3">
      <c r="L22" s="25"/>
      <c r="M22" s="26"/>
    </row>
    <row r="23" spans="2:13" ht="15.75" customHeight="1" thickBot="1" x14ac:dyDescent="0.3">
      <c r="B23" s="66" t="s">
        <v>93</v>
      </c>
      <c r="C23" s="66"/>
      <c r="D23" s="66"/>
      <c r="E23" s="66"/>
      <c r="H23" t="s">
        <v>91</v>
      </c>
      <c r="L23" s="25"/>
      <c r="M23" s="26"/>
    </row>
    <row r="24" spans="2:13" ht="15.75" customHeight="1" thickBot="1" x14ac:dyDescent="0.3">
      <c r="B24" s="48" t="s">
        <v>46</v>
      </c>
      <c r="C24" s="49" t="s">
        <v>68</v>
      </c>
      <c r="D24" s="49" t="s">
        <v>69</v>
      </c>
      <c r="E24" s="49" t="s">
        <v>70</v>
      </c>
      <c r="L24" s="25"/>
      <c r="M24" s="26"/>
    </row>
    <row r="25" spans="2:13" ht="15.75" customHeight="1" thickBot="1" x14ac:dyDescent="0.3">
      <c r="B25" s="37" t="s">
        <v>71</v>
      </c>
      <c r="C25" s="39">
        <v>14000</v>
      </c>
      <c r="D25" s="40">
        <v>640</v>
      </c>
      <c r="E25" s="39">
        <v>8960000</v>
      </c>
      <c r="F25" s="42" t="s">
        <v>90</v>
      </c>
      <c r="L25" s="25"/>
      <c r="M25" s="26"/>
    </row>
    <row r="26" spans="2:13" ht="15.75" customHeight="1" thickBot="1" x14ac:dyDescent="0.3">
      <c r="B26" s="43" t="s">
        <v>72</v>
      </c>
      <c r="C26" s="41">
        <v>16000</v>
      </c>
      <c r="D26" s="44">
        <v>640</v>
      </c>
      <c r="E26" s="41">
        <v>10240000</v>
      </c>
      <c r="F26" s="38">
        <f>E25+E26+E27</f>
        <v>26880000</v>
      </c>
      <c r="L26" s="25"/>
      <c r="M26" s="26"/>
    </row>
    <row r="27" spans="2:13" ht="15.75" customHeight="1" thickBot="1" x14ac:dyDescent="0.3">
      <c r="B27" s="45" t="s">
        <v>47</v>
      </c>
      <c r="C27" s="46">
        <v>12000</v>
      </c>
      <c r="D27" s="45">
        <v>640</v>
      </c>
      <c r="E27" s="46">
        <v>7680000</v>
      </c>
      <c r="L27" s="25"/>
      <c r="M27" s="26"/>
    </row>
    <row r="28" spans="2:13" ht="15.75" customHeight="1" thickBot="1" x14ac:dyDescent="0.3">
      <c r="B28" s="47" t="s">
        <v>92</v>
      </c>
      <c r="I28" t="s">
        <v>96</v>
      </c>
      <c r="L28" s="25"/>
      <c r="M28" s="26"/>
    </row>
    <row r="29" spans="2:13" ht="15.75" customHeight="1" thickBot="1" x14ac:dyDescent="0.3">
      <c r="I29" t="s">
        <v>97</v>
      </c>
      <c r="L29" s="25"/>
      <c r="M29" s="26"/>
    </row>
    <row r="30" spans="2:13" ht="15.75" customHeight="1" thickBot="1" x14ac:dyDescent="0.3">
      <c r="B30" s="67" t="s">
        <v>94</v>
      </c>
      <c r="C30" s="68"/>
      <c r="D30" s="68"/>
      <c r="E30" s="69"/>
      <c r="H30">
        <v>2026</v>
      </c>
      <c r="I30">
        <v>10</v>
      </c>
      <c r="L30" s="25"/>
      <c r="M30" s="26"/>
    </row>
    <row r="31" spans="2:13" ht="15.75" customHeight="1" thickBot="1" x14ac:dyDescent="0.3">
      <c r="B31" s="48" t="s">
        <v>73</v>
      </c>
      <c r="C31" s="49" t="s">
        <v>74</v>
      </c>
      <c r="D31" s="49" t="s">
        <v>44</v>
      </c>
      <c r="E31" s="49" t="s">
        <v>45</v>
      </c>
      <c r="H31">
        <v>2027</v>
      </c>
      <c r="I31">
        <v>10</v>
      </c>
      <c r="L31" s="25"/>
      <c r="M31" s="26"/>
    </row>
    <row r="32" spans="2:13" ht="15.75" customHeight="1" thickBot="1" x14ac:dyDescent="0.3">
      <c r="B32" s="37" t="s">
        <v>75</v>
      </c>
      <c r="C32" s="39">
        <v>600000</v>
      </c>
      <c r="D32" s="40">
        <v>2</v>
      </c>
      <c r="E32" s="39">
        <v>1200000</v>
      </c>
      <c r="F32" s="38">
        <f>E32+E33</f>
        <v>1932000</v>
      </c>
      <c r="H32">
        <v>2028</v>
      </c>
      <c r="I32">
        <v>12</v>
      </c>
      <c r="L32" s="31"/>
      <c r="M32" s="32"/>
    </row>
    <row r="33" spans="2:10" ht="15.75" customHeight="1" x14ac:dyDescent="0.25">
      <c r="B33" s="43" t="s">
        <v>76</v>
      </c>
      <c r="C33" s="41">
        <v>61000</v>
      </c>
      <c r="D33" s="44" t="s">
        <v>77</v>
      </c>
      <c r="E33" s="41">
        <v>732000</v>
      </c>
      <c r="H33" t="s">
        <v>98</v>
      </c>
    </row>
    <row r="34" spans="2:10" ht="15.75" customHeight="1" x14ac:dyDescent="0.25">
      <c r="B34" s="47"/>
      <c r="C34" s="50"/>
      <c r="D34" s="47"/>
      <c r="E34" s="50"/>
      <c r="I34" t="s">
        <v>99</v>
      </c>
    </row>
    <row r="35" spans="2:10" ht="15.75" customHeight="1" x14ac:dyDescent="0.25">
      <c r="B35" s="67" t="s">
        <v>95</v>
      </c>
      <c r="C35" s="68"/>
      <c r="D35" s="68"/>
      <c r="E35" s="69"/>
      <c r="G35" s="70" t="s">
        <v>101</v>
      </c>
      <c r="H35" s="70"/>
      <c r="I35" s="70"/>
      <c r="J35" s="70"/>
    </row>
    <row r="36" spans="2:10" ht="30" customHeight="1" thickBot="1" x14ac:dyDescent="0.3">
      <c r="B36" s="48" t="s">
        <v>73</v>
      </c>
      <c r="C36" s="49" t="s">
        <v>78</v>
      </c>
      <c r="D36" s="49" t="s">
        <v>44</v>
      </c>
      <c r="E36" s="49" t="s">
        <v>45</v>
      </c>
      <c r="G36" s="51" t="s">
        <v>100</v>
      </c>
      <c r="H36" s="51" t="s">
        <v>68</v>
      </c>
      <c r="I36" s="51" t="s">
        <v>69</v>
      </c>
      <c r="J36" s="51" t="s">
        <v>70</v>
      </c>
    </row>
    <row r="37" spans="2:10" ht="25.5" customHeight="1" thickBot="1" x14ac:dyDescent="0.3">
      <c r="B37" s="37" t="s">
        <v>79</v>
      </c>
      <c r="C37" s="39">
        <v>13000</v>
      </c>
      <c r="D37" s="40" t="s">
        <v>80</v>
      </c>
      <c r="E37" s="39">
        <v>78000</v>
      </c>
      <c r="G37" s="53">
        <v>2026</v>
      </c>
      <c r="H37" s="54">
        <v>11000</v>
      </c>
      <c r="I37" s="55">
        <v>251</v>
      </c>
      <c r="J37" s="54">
        <f>H37*I37</f>
        <v>2761000</v>
      </c>
    </row>
    <row r="38" spans="2:10" ht="60.75" customHeight="1" thickBot="1" x14ac:dyDescent="0.3">
      <c r="B38" s="37" t="s">
        <v>81</v>
      </c>
      <c r="C38" s="39">
        <v>10000</v>
      </c>
      <c r="D38" s="40">
        <v>20</v>
      </c>
      <c r="E38" s="39">
        <v>20000</v>
      </c>
      <c r="F38" s="38">
        <f>E37+E38+E39</f>
        <v>198000</v>
      </c>
      <c r="G38" s="53">
        <v>2027</v>
      </c>
      <c r="H38" s="54">
        <v>11000</v>
      </c>
      <c r="I38" s="53">
        <v>253</v>
      </c>
      <c r="J38" s="54">
        <f>H38*I38</f>
        <v>2783000</v>
      </c>
    </row>
    <row r="39" spans="2:10" ht="15.75" customHeight="1" thickBot="1" x14ac:dyDescent="0.3">
      <c r="B39" s="37" t="s">
        <v>82</v>
      </c>
      <c r="C39" s="39">
        <v>100000</v>
      </c>
      <c r="D39" s="40" t="s">
        <v>83</v>
      </c>
      <c r="E39" s="39">
        <v>100000</v>
      </c>
      <c r="G39" s="53">
        <v>2028</v>
      </c>
      <c r="H39" s="54">
        <v>11000</v>
      </c>
      <c r="I39" s="53">
        <v>248</v>
      </c>
      <c r="J39" s="54">
        <f>H39*I39</f>
        <v>2728000</v>
      </c>
    </row>
    <row r="40" spans="2:10" ht="36" customHeight="1" thickBot="1" x14ac:dyDescent="0.3">
      <c r="I40">
        <f>I37+I38+I39</f>
        <v>752</v>
      </c>
      <c r="J40" s="38">
        <f>J37+J38+J39</f>
        <v>8272000</v>
      </c>
    </row>
    <row r="41" spans="2:10" ht="34.5" customHeight="1" thickBot="1" x14ac:dyDescent="0.3">
      <c r="B41" s="35" t="s">
        <v>84</v>
      </c>
      <c r="C41" s="36" t="s">
        <v>45</v>
      </c>
    </row>
    <row r="42" spans="2:10" ht="28.5" customHeight="1" thickBot="1" x14ac:dyDescent="0.3">
      <c r="B42" s="37" t="s">
        <v>85</v>
      </c>
      <c r="C42" s="39">
        <f>F26</f>
        <v>26880000</v>
      </c>
    </row>
    <row r="43" spans="2:10" ht="50.25" customHeight="1" thickBot="1" x14ac:dyDescent="0.3">
      <c r="B43" s="37" t="s">
        <v>86</v>
      </c>
      <c r="C43" s="39">
        <f>F32</f>
        <v>1932000</v>
      </c>
      <c r="E43" s="38">
        <f>C42+C43+C44+C46</f>
        <v>32738200</v>
      </c>
      <c r="H43" s="52"/>
    </row>
    <row r="44" spans="2:10" ht="15.75" customHeight="1" thickBot="1" x14ac:dyDescent="0.3">
      <c r="B44" s="37" t="s">
        <v>87</v>
      </c>
      <c r="C44" s="39">
        <f>F38</f>
        <v>198000</v>
      </c>
    </row>
    <row r="45" spans="2:10" ht="34.5" customHeight="1" x14ac:dyDescent="0.25">
      <c r="B45" s="45" t="s">
        <v>101</v>
      </c>
      <c r="C45" s="58">
        <f>J40</f>
        <v>8272000</v>
      </c>
    </row>
    <row r="46" spans="2:10" ht="29.25" customHeight="1" x14ac:dyDescent="0.25">
      <c r="B46" s="59" t="s">
        <v>88</v>
      </c>
      <c r="C46" s="41">
        <f>(C42+C43+C44+C45)*0.1</f>
        <v>3728200</v>
      </c>
      <c r="D46" s="42" t="s">
        <v>89</v>
      </c>
    </row>
    <row r="47" spans="2:10" ht="15.75" customHeight="1" x14ac:dyDescent="0.25">
      <c r="B47" s="56"/>
      <c r="C47" s="57">
        <f>C42+C43+C44+C45+C46</f>
        <v>41010200</v>
      </c>
    </row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9">
    <mergeCell ref="B35:E35"/>
    <mergeCell ref="G35:J35"/>
    <mergeCell ref="C3:G3"/>
    <mergeCell ref="I3:J3"/>
    <mergeCell ref="L3:N3"/>
    <mergeCell ref="B12:G12"/>
    <mergeCell ref="L16:M16"/>
    <mergeCell ref="B23:E23"/>
    <mergeCell ref="B30:E3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W1000"/>
  <sheetViews>
    <sheetView workbookViewId="0">
      <selection activeCell="L14" sqref="L14"/>
    </sheetView>
  </sheetViews>
  <sheetFormatPr baseColWidth="10" defaultColWidth="14.42578125" defaultRowHeight="15" customHeight="1" x14ac:dyDescent="0.25"/>
  <cols>
    <col min="1" max="22" width="10.7109375" customWidth="1"/>
    <col min="23" max="23" width="12" customWidth="1"/>
    <col min="24" max="26" width="10.7109375" customWidth="1"/>
  </cols>
  <sheetData>
    <row r="3" spans="5:23" x14ac:dyDescent="0.25">
      <c r="K3" s="30" t="s">
        <v>48</v>
      </c>
      <c r="L3" s="30" t="s">
        <v>49</v>
      </c>
      <c r="M3" s="30" t="s">
        <v>50</v>
      </c>
      <c r="N3" s="30" t="s">
        <v>51</v>
      </c>
      <c r="O3" s="30" t="s">
        <v>52</v>
      </c>
      <c r="P3" s="30" t="s">
        <v>53</v>
      </c>
      <c r="Q3" s="30" t="s">
        <v>54</v>
      </c>
      <c r="R3" s="30" t="s">
        <v>55</v>
      </c>
      <c r="S3" s="30" t="s">
        <v>56</v>
      </c>
      <c r="T3" s="30" t="s">
        <v>57</v>
      </c>
      <c r="U3" s="30" t="s">
        <v>58</v>
      </c>
      <c r="V3" s="30" t="s">
        <v>59</v>
      </c>
    </row>
    <row r="4" spans="5:23" x14ac:dyDescent="0.25">
      <c r="E4" s="33" t="s">
        <v>60</v>
      </c>
      <c r="F4" s="30" t="s">
        <v>61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5:23" x14ac:dyDescent="0.25">
      <c r="I5" s="30" t="s">
        <v>62</v>
      </c>
      <c r="J5" s="4">
        <v>50000</v>
      </c>
      <c r="K5" s="4">
        <f t="shared" ref="K5:V5" si="0">+$J$5*K6</f>
        <v>100000</v>
      </c>
      <c r="L5" s="4">
        <f t="shared" si="0"/>
        <v>150000</v>
      </c>
      <c r="M5" s="4">
        <f t="shared" si="0"/>
        <v>200000</v>
      </c>
      <c r="N5" s="4">
        <f t="shared" si="0"/>
        <v>150000</v>
      </c>
      <c r="O5" s="4">
        <f t="shared" si="0"/>
        <v>150000</v>
      </c>
      <c r="P5" s="4">
        <f t="shared" si="0"/>
        <v>200000</v>
      </c>
      <c r="Q5" s="4">
        <f t="shared" si="0"/>
        <v>200000</v>
      </c>
      <c r="R5" s="4">
        <f t="shared" si="0"/>
        <v>200000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>SUM(K5:V5)</f>
        <v>1350000</v>
      </c>
    </row>
    <row r="6" spans="5:23" x14ac:dyDescent="0.25">
      <c r="F6" s="30" t="s">
        <v>63</v>
      </c>
      <c r="G6" s="4">
        <v>5000000</v>
      </c>
      <c r="I6" s="30" t="s">
        <v>64</v>
      </c>
      <c r="J6" s="4">
        <f>+G6/J5</f>
        <v>100</v>
      </c>
      <c r="K6" s="4">
        <v>2</v>
      </c>
      <c r="L6" s="4">
        <v>3</v>
      </c>
      <c r="M6" s="4">
        <v>4</v>
      </c>
      <c r="N6" s="4">
        <v>3</v>
      </c>
      <c r="O6" s="4">
        <v>3</v>
      </c>
      <c r="P6" s="4">
        <v>4</v>
      </c>
      <c r="Q6" s="4">
        <v>4</v>
      </c>
      <c r="R6" s="4">
        <v>4</v>
      </c>
      <c r="S6" s="4"/>
      <c r="T6" s="4"/>
      <c r="U6" s="4"/>
      <c r="V6" s="4"/>
      <c r="W6" s="4"/>
    </row>
    <row r="7" spans="5:23" x14ac:dyDescent="0.25"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5:23" x14ac:dyDescent="0.25"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5:23" x14ac:dyDescent="0.25">
      <c r="E9" s="34" t="s">
        <v>65</v>
      </c>
      <c r="J9" s="4">
        <v>500000</v>
      </c>
      <c r="K9" s="4">
        <v>500000</v>
      </c>
      <c r="L9" s="4">
        <v>500000</v>
      </c>
      <c r="M9" s="4">
        <v>500000</v>
      </c>
      <c r="N9" s="4">
        <v>500000</v>
      </c>
      <c r="O9" s="4">
        <v>500000</v>
      </c>
      <c r="P9" s="4">
        <v>500000</v>
      </c>
      <c r="Q9" s="4">
        <v>500000</v>
      </c>
      <c r="R9" s="4">
        <v>500000</v>
      </c>
      <c r="S9" s="4">
        <v>500000</v>
      </c>
      <c r="T9" s="4">
        <v>500000</v>
      </c>
      <c r="U9" s="4">
        <v>500000</v>
      </c>
      <c r="V9" s="4">
        <v>500000</v>
      </c>
      <c r="W9" s="4">
        <f>SUM(K9:V9)</f>
        <v>6000000</v>
      </c>
    </row>
    <row r="12" spans="5:23" x14ac:dyDescent="0.25">
      <c r="E12" s="34" t="s">
        <v>66</v>
      </c>
      <c r="J12" s="30">
        <v>5000000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ABEL ALONSO SANCHEZ JIMENEZ</cp:lastModifiedBy>
  <dcterms:created xsi:type="dcterms:W3CDTF">2022-10-18T13:55:40Z</dcterms:created>
  <dcterms:modified xsi:type="dcterms:W3CDTF">2025-11-05T23:12:22Z</dcterms:modified>
</cp:coreProperties>
</file>